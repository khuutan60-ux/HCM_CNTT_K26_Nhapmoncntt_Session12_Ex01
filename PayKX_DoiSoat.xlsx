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2"/>
  </bookViews>
  <sheets>
    <sheet name="GiaoDich" sheetId="1" r:id="rId1"/>
    <sheet name="LamSach" sheetId="2" r:id="rId2"/>
    <sheet name="TongHopPhi" sheetId="3" r:id="rId3"/>
  </sheets>
  <definedNames>
    <definedName name="_xlnm._FilterDatabase" localSheetId="0" hidden="1">GiaoDich!$A$1:$J$9</definedName>
    <definedName name="_xlnm._FilterDatabase" localSheetId="1" hidden="1">LamSach!$A$1:$C$9</definedName>
    <definedName name="_xlnm._FilterDatabase" localSheetId="2" hidden="1">TongHopPhi!$A$1:$D$8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<sst xmlns="http://schemas.openxmlformats.org/spreadsheetml/2006/main" count="70" uniqueCount="43">
  <si>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MaGiaoDich</t>
  </si>
  <si>
    <t>MaNguoiDung</t>
  </si>
  <si>
    <t>TenNguoiDung</t>
  </si>
  <si>
    <t>SoTien</t>
  </si>
  <si>
    <t>PhiNganHang</t>
  </si>
  <si>
    <t>TrangThai</t>
  </si>
  <si>
    <t>TenTraCuu</t>
  </si>
  <si>
    <t>BANG TRA CUU NGUOI DUNG</t>
  </si>
  <si>
    <t>BANG TRA CUU THEO MA GIAO DICH</t>
  </si>
  <si>
    <t>TX1001</t>
  </si>
  <si>
    <t>U001</t>
  </si>
  <si>
    <t>Nguyen An</t>
  </si>
  <si>
    <t>Thanh cong</t>
  </si>
  <si>
    <t>TenNguoiDungDaLamSach</t>
  </si>
  <si>
    <t>TX1002</t>
  </si>
  <si>
    <t>U002</t>
  </si>
  <si>
    <t xml:space="preserve"> Tran Binh </t>
  </si>
  <si>
    <t>TX1003</t>
  </si>
  <si>
    <t>U003</t>
  </si>
  <si>
    <t>Le Chi</t>
  </si>
  <si>
    <t>Tran Binh</t>
  </si>
  <si>
    <t>TX1004</t>
  </si>
  <si>
    <t>Hoan tien</t>
  </si>
  <si>
    <t>TX1005</t>
  </si>
  <si>
    <t>U004</t>
  </si>
  <si>
    <t xml:space="preserve">Pham Duy </t>
  </si>
  <si>
    <t>Pham Duy</t>
  </si>
  <si>
    <t>TX1006</t>
  </si>
  <si>
    <t>U005</t>
  </si>
  <si>
    <t>Hoang Giang</t>
  </si>
  <si>
    <t>TX1007</t>
  </si>
  <si>
    <t>U006</t>
  </si>
  <si>
    <t>Vo Kha</t>
  </si>
  <si>
    <t>TX1008</t>
  </si>
  <si>
    <t>Dang xu ly</t>
  </si>
  <si>
    <t>TenGoc</t>
  </si>
  <si>
    <t>TenDaLamSach</t>
  </si>
  <si>
    <t>SoGiaoDich</t>
  </si>
  <si>
    <t>TongSoTien</t>
  </si>
  <si>
    <t>TongPhiNganHang</t>
  </si>
  <si>
    <t>Tong cong</t>
  </si>
  <si>
    <t>Ghi chu</t>
  </si>
  <si>
    <t>VLOOKUP dùng FALSE để khớp chính xác; TRIM loại bỏ khoảng trắng thừa.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</si>
</sst>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Tổng phí ngân hàng theo trạng thái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TongHopPhi!$D$1</c:f>
              <c:strCache>
                <c:ptCount val="1"/>
                <c:pt idx="0">
                  <c:v>TongPhiNganHang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TongHopPhi!$A$2:$A$4</c:f>
              <c:strCache>
                <c:ptCount val="3"/>
                <c:pt idx="0">
                  <c:v>Thanh cong</c:v>
                </c:pt>
                <c:pt idx="1">
                  <c:v>Hoan tien</c:v>
                </c:pt>
                <c:pt idx="2">
                  <c:v>Dang xu ly</c:v>
                </c:pt>
              </c:strCache>
            </c:strRef>
          </c:cat>
          <c:val>
            <c:numRef>
              <c:f>TongHopPhi!$D$2:$D$4</c:f>
              <c:numCache>
                <c:formatCode>General</c:formatCode>
                <c:ptCount val="3"/>
                <c:pt idx="0">
                  <c:v>7690</c:v>
                </c:pt>
                <c:pt idx="1">
                  <c:v>500</c:v>
                </c:pt>
                <c:pt idx="2">
                  <c:v>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Trạng thái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Phí (VND)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35262c-25ac-4fa9-b573-0d727e3736e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4680000" cy="2520000"/>
    <xdr:graphicFrame>
      <xdr:nvGraphicFramePr>
        <xdr:cNvPr id="2" name="Chart 1"/>
        <xdr:cNvGraphicFramePr/>
      </xdr:nvGraphicFramePr>
      <xdr:xfrm>
        <a:off x="6067425" y="190500"/>
        <a:ext cx="467995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6" width="14" customWidth="1"/>
    <col min="7" max="7" width="18" customWidth="1"/>
    <col min="8" max="8" width="14" customWidth="1"/>
    <col min="9" max="9" width="25" customWidth="1"/>
    <col min="10" max="10" width="14" customWidth="1"/>
    <col min="12" max="12" width="30" customWidth="1"/>
    <col min="13" max="13" width="28" customWidth="1"/>
  </cols>
  <sheetData>
    <row r="1" ht="30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/>
      <c r="K1" s="1"/>
      <c r="L1" s="1" t="s">
        <v>8</v>
      </c>
      <c r="M1" s="1"/>
    </row>
    <row r="2" spans="1:13">
      <c r="A2" s="2" t="s">
        <v>9</v>
      </c>
      <c r="B2" s="2" t="s">
        <v>10</v>
      </c>
      <c r="C2" s="2" t="s">
        <v>11</v>
      </c>
      <c r="D2" s="2">
        <v>120000</v>
      </c>
      <c r="E2" s="2">
        <v>1200</v>
      </c>
      <c r="F2" s="2" t="s">
        <v>12</v>
      </c>
      <c r="G2" s="2" t="str">
        <f t="shared" ref="G2:G9" si="0">IFERROR(VLOOKUP(A2,$L$3:$M$10,2,FALSE),"KHONG TIM THAY")</f>
        <v>Nguyen An</v>
      </c>
      <c r="H2" s="2"/>
      <c r="I2" s="2" t="s">
        <v>1</v>
      </c>
      <c r="J2" s="2" t="s">
        <v>2</v>
      </c>
      <c r="L2" t="s">
        <v>0</v>
      </c>
      <c r="M2" t="s">
        <v>13</v>
      </c>
    </row>
    <row r="3" spans="1:13">
      <c r="A3" s="3" t="s">
        <v>14</v>
      </c>
      <c r="B3" s="3" t="s">
        <v>15</v>
      </c>
      <c r="C3" s="3" t="s">
        <v>16</v>
      </c>
      <c r="D3" s="3">
        <v>85000</v>
      </c>
      <c r="E3" s="3">
        <v>850</v>
      </c>
      <c r="F3" s="3" t="s">
        <v>12</v>
      </c>
      <c r="G3" s="3" t="str">
        <f t="shared" si="0"/>
        <v>Tran Binh</v>
      </c>
      <c r="H3" s="3"/>
      <c r="I3" s="3" t="s">
        <v>10</v>
      </c>
      <c r="J3" s="3" t="s">
        <v>11</v>
      </c>
      <c r="L3" t="str">
        <f t="shared" ref="L3:L10" si="1">A2</f>
        <v>TX1001</v>
      </c>
      <c r="M3" t="str">
        <f t="shared" ref="M3:M10" si="2">TRIM(C2)</f>
        <v>Nguyen An</v>
      </c>
    </row>
    <row r="4" spans="1:13">
      <c r="A4" s="2" t="s">
        <v>17</v>
      </c>
      <c r="B4" s="2" t="s">
        <v>18</v>
      </c>
      <c r="C4" s="2" t="s">
        <v>19</v>
      </c>
      <c r="D4" s="2">
        <v>250000</v>
      </c>
      <c r="E4" s="2">
        <v>2500</v>
      </c>
      <c r="F4" s="2" t="s">
        <v>12</v>
      </c>
      <c r="G4" s="2" t="str">
        <f t="shared" si="0"/>
        <v>Le Chi</v>
      </c>
      <c r="H4" s="2"/>
      <c r="I4" s="2" t="s">
        <v>15</v>
      </c>
      <c r="J4" s="2" t="s">
        <v>20</v>
      </c>
      <c r="L4" t="str">
        <f t="shared" si="1"/>
        <v>TX1002</v>
      </c>
      <c r="M4" t="str">
        <f t="shared" si="2"/>
        <v>Tran Binh</v>
      </c>
    </row>
    <row r="5" spans="1:13">
      <c r="A5" s="3" t="s">
        <v>21</v>
      </c>
      <c r="B5" s="3" t="s">
        <v>10</v>
      </c>
      <c r="C5" s="3" t="s">
        <v>11</v>
      </c>
      <c r="D5" s="3">
        <v>50000</v>
      </c>
      <c r="E5" s="3">
        <v>500</v>
      </c>
      <c r="F5" s="3" t="s">
        <v>22</v>
      </c>
      <c r="G5" s="3" t="str">
        <f t="shared" si="0"/>
        <v>Nguyen An</v>
      </c>
      <c r="H5" s="3"/>
      <c r="I5" s="3" t="s">
        <v>18</v>
      </c>
      <c r="J5" s="3" t="s">
        <v>19</v>
      </c>
      <c r="L5" t="str">
        <f t="shared" si="1"/>
        <v>TX1003</v>
      </c>
      <c r="M5" t="str">
        <f t="shared" si="2"/>
        <v>Le Chi</v>
      </c>
    </row>
    <row r="6" spans="1:13">
      <c r="A6" s="2" t="s">
        <v>23</v>
      </c>
      <c r="B6" s="2" t="s">
        <v>24</v>
      </c>
      <c r="C6" s="2" t="s">
        <v>25</v>
      </c>
      <c r="D6" s="2">
        <v>175000</v>
      </c>
      <c r="E6" s="2">
        <v>1750</v>
      </c>
      <c r="F6" s="2" t="s">
        <v>12</v>
      </c>
      <c r="G6" s="2" t="str">
        <f t="shared" si="0"/>
        <v>Pham Duy</v>
      </c>
      <c r="H6" s="2"/>
      <c r="I6" s="2" t="s">
        <v>24</v>
      </c>
      <c r="J6" s="2" t="s">
        <v>26</v>
      </c>
      <c r="L6" t="str">
        <f t="shared" si="1"/>
        <v>TX1004</v>
      </c>
      <c r="M6" t="str">
        <f t="shared" si="2"/>
        <v>Nguyen An</v>
      </c>
    </row>
    <row r="7" spans="1:13">
      <c r="A7" s="3" t="s">
        <v>27</v>
      </c>
      <c r="B7" s="3" t="s">
        <v>28</v>
      </c>
      <c r="C7" s="3" t="s">
        <v>29</v>
      </c>
      <c r="D7" s="3">
        <v>99000</v>
      </c>
      <c r="E7" s="3">
        <v>990</v>
      </c>
      <c r="F7" s="3" t="s">
        <v>12</v>
      </c>
      <c r="G7" s="3" t="str">
        <f t="shared" si="0"/>
        <v>Hoang Giang</v>
      </c>
      <c r="H7" s="3"/>
      <c r="I7" s="3" t="s">
        <v>28</v>
      </c>
      <c r="J7" s="3" t="s">
        <v>29</v>
      </c>
      <c r="L7" t="str">
        <f t="shared" si="1"/>
        <v>TX1005</v>
      </c>
      <c r="M7" t="str">
        <f t="shared" si="2"/>
        <v>Pham Duy</v>
      </c>
    </row>
    <row r="8" spans="1:13">
      <c r="A8" s="2" t="s">
        <v>30</v>
      </c>
      <c r="B8" s="2" t="s">
        <v>15</v>
      </c>
      <c r="C8" s="2" t="s">
        <v>16</v>
      </c>
      <c r="D8" s="2">
        <v>40000</v>
      </c>
      <c r="E8" s="2">
        <v>400</v>
      </c>
      <c r="F8" s="2" t="s">
        <v>12</v>
      </c>
      <c r="G8" s="2" t="str">
        <f t="shared" si="0"/>
        <v>Tran Binh</v>
      </c>
      <c r="H8" s="2"/>
      <c r="I8" s="2" t="s">
        <v>31</v>
      </c>
      <c r="J8" s="2" t="s">
        <v>32</v>
      </c>
      <c r="L8" t="str">
        <f t="shared" si="1"/>
        <v>TX1006</v>
      </c>
      <c r="M8" t="str">
        <f t="shared" si="2"/>
        <v>Hoang Giang</v>
      </c>
    </row>
    <row r="9" spans="1:13">
      <c r="A9" s="3" t="s">
        <v>33</v>
      </c>
      <c r="B9" s="3" t="s">
        <v>31</v>
      </c>
      <c r="C9" s="3" t="s">
        <v>32</v>
      </c>
      <c r="D9" s="3">
        <v>300000</v>
      </c>
      <c r="E9" s="3">
        <v>3000</v>
      </c>
      <c r="F9" s="3" t="s">
        <v>34</v>
      </c>
      <c r="G9" s="3" t="str">
        <f t="shared" si="0"/>
        <v>Vo Kha</v>
      </c>
      <c r="H9" s="3"/>
      <c r="I9" s="3"/>
      <c r="J9" s="3"/>
      <c r="L9" t="str">
        <f t="shared" si="1"/>
        <v>TX1007</v>
      </c>
      <c r="M9" t="str">
        <f t="shared" si="2"/>
        <v>Tran Binh</v>
      </c>
    </row>
    <row r="10" spans="1:13">
      <c r="L10" t="str">
        <f t="shared" si="1"/>
        <v>TX1008</v>
      </c>
      <c r="M10" t="str">
        <f t="shared" si="2"/>
        <v>Vo Kha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3" width="18" customWidth="1"/>
  </cols>
  <sheetData>
    <row r="1" spans="1:3">
      <c r="A1" s="1" t="s">
        <v>0</v>
      </c>
      <c r="B1" s="1" t="s">
        <v>35</v>
      </c>
      <c r="C1" s="1" t="s">
        <v>36</v>
      </c>
    </row>
    <row r="2" spans="1:3">
      <c r="A2" s="2" t="str">
        <f>GiaoDich!A2</f>
        <v>TX1001</v>
      </c>
      <c r="B2" s="2" t="str">
        <f>GiaoDich!C2</f>
        <v>Nguyen An</v>
      </c>
      <c r="C2" s="2" t="str">
        <f t="shared" ref="C2:C9" si="0">TRIM(B2)</f>
        <v>Nguyen An</v>
      </c>
    </row>
    <row r="3" spans="1:3">
      <c r="A3" s="3" t="str">
        <f>GiaoDich!A3</f>
        <v>TX1002</v>
      </c>
      <c r="B3" s="3" t="str">
        <f>GiaoDich!C3</f>
        <v> Tran Binh </v>
      </c>
      <c r="C3" s="3" t="str">
        <f t="shared" si="0"/>
        <v>Tran Binh</v>
      </c>
    </row>
    <row r="4" spans="1:3">
      <c r="A4" s="2" t="str">
        <f>GiaoDich!A4</f>
        <v>TX1003</v>
      </c>
      <c r="B4" s="2" t="str">
        <f>GiaoDich!C4</f>
        <v>Le Chi</v>
      </c>
      <c r="C4" s="2" t="str">
        <f t="shared" si="0"/>
        <v>Le Chi</v>
      </c>
    </row>
    <row r="5" spans="1:3">
      <c r="A5" s="3" t="str">
        <f>GiaoDich!A5</f>
        <v>TX1004</v>
      </c>
      <c r="B5" s="3" t="str">
        <f>GiaoDich!C5</f>
        <v>Nguyen An</v>
      </c>
      <c r="C5" s="3" t="str">
        <f t="shared" si="0"/>
        <v>Nguyen An</v>
      </c>
    </row>
    <row r="6" spans="1:3">
      <c r="A6" s="2" t="str">
        <f>GiaoDich!A6</f>
        <v>TX1005</v>
      </c>
      <c r="B6" s="2" t="str">
        <f>GiaoDich!C6</f>
        <v>Pham Duy </v>
      </c>
      <c r="C6" s="2" t="str">
        <f t="shared" si="0"/>
        <v>Pham Duy</v>
      </c>
    </row>
    <row r="7" spans="1:3">
      <c r="A7" s="3" t="str">
        <f>GiaoDich!A7</f>
        <v>TX1006</v>
      </c>
      <c r="B7" s="3" t="str">
        <f>GiaoDich!C7</f>
        <v>Hoang Giang</v>
      </c>
      <c r="C7" s="3" t="str">
        <f t="shared" si="0"/>
        <v>Hoang Giang</v>
      </c>
    </row>
    <row r="8" spans="1:3">
      <c r="A8" s="2" t="str">
        <f>GiaoDich!A8</f>
        <v>TX1007</v>
      </c>
      <c r="B8" s="2" t="str">
        <f>GiaoDich!C8</f>
        <v> Tran Binh </v>
      </c>
      <c r="C8" s="2" t="str">
        <f t="shared" si="0"/>
        <v>Tran Binh</v>
      </c>
    </row>
    <row r="9" spans="1:3">
      <c r="A9" s="3" t="str">
        <f>GiaoDich!A9</f>
        <v>TX1008</v>
      </c>
      <c r="B9" s="3" t="str">
        <f>GiaoDich!C9</f>
        <v>Vo Kha</v>
      </c>
      <c r="C9" s="3" t="str">
        <f t="shared" si="0"/>
        <v>Vo Kha</v>
      </c>
    </row>
  </sheetData>
  <autoFilter xmlns:etc="http://www.wps.cn/officeDocument/2017/etCustomData" ref="A1:C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 outlineLevelCol="3"/>
  <cols>
    <col min="1" max="1" width="14" customWidth="1"/>
    <col min="2" max="2" width="32" customWidth="1"/>
    <col min="3" max="4" width="18" customWidth="1"/>
  </cols>
  <sheetData>
    <row r="1" spans="1:4">
      <c r="A1" s="1" t="s">
        <v>5</v>
      </c>
      <c r="B1" s="1" t="s">
        <v>37</v>
      </c>
      <c r="C1" s="1" t="s">
        <v>38</v>
      </c>
      <c r="D1" s="1" t="s">
        <v>39</v>
      </c>
    </row>
    <row r="2" spans="1:4">
      <c r="A2" s="2" t="s">
        <v>12</v>
      </c>
      <c r="B2" s="2">
        <f>COUNTIF(GiaoDich!$F$2:$F$9,A2)</f>
        <v>6</v>
      </c>
      <c r="C2" s="2">
        <f>SUMIF(GiaoDich!$F$2:$F$9,A2,GiaoDich!$D$2:$D$9)</f>
        <v>769000</v>
      </c>
      <c r="D2" s="2">
        <f>SUMIF(GiaoDich!$F$2:$F$9,A2,GiaoDich!$E$2:$E$9)</f>
        <v>7690</v>
      </c>
    </row>
    <row r="3" spans="1:4">
      <c r="A3" s="3" t="s">
        <v>22</v>
      </c>
      <c r="B3" s="3">
        <f>COUNTIF(GiaoDich!$F$2:$F$9,A3)</f>
        <v>1</v>
      </c>
      <c r="C3" s="3">
        <f>SUMIF(GiaoDich!$F$2:$F$9,A3,GiaoDich!$D$2:$D$9)</f>
        <v>50000</v>
      </c>
      <c r="D3" s="3">
        <f>SUMIF(GiaoDich!$F$2:$F$9,A3,GiaoDich!$E$2:$E$9)</f>
        <v>500</v>
      </c>
    </row>
    <row r="4" spans="1:4">
      <c r="A4" s="2" t="s">
        <v>34</v>
      </c>
      <c r="B4" s="2">
        <f>COUNTIF(GiaoDich!$F$2:$F$9,A4)</f>
        <v>1</v>
      </c>
      <c r="C4" s="2">
        <f>SUMIF(GiaoDich!$F$2:$F$9,A4,GiaoDich!$D$2:$D$9)</f>
        <v>300000</v>
      </c>
      <c r="D4" s="2">
        <f>SUMIF(GiaoDich!$F$2:$F$9,A4,GiaoDich!$E$2:$E$9)</f>
        <v>3000</v>
      </c>
    </row>
    <row r="5" spans="1:4">
      <c r="A5" s="3"/>
      <c r="B5" s="3"/>
      <c r="C5" s="3"/>
      <c r="D5" s="3"/>
    </row>
    <row r="6" spans="1:4">
      <c r="A6" s="2" t="s">
        <v>40</v>
      </c>
      <c r="B6" s="2">
        <f>SUM(B2:B4)</f>
        <v>8</v>
      </c>
      <c r="C6" s="2">
        <f>SUM(C2:C4)</f>
        <v>1119000</v>
      </c>
      <c r="D6" s="2">
        <f>SUM(D2:D4)</f>
        <v>11190</v>
      </c>
    </row>
    <row r="7" spans="1:4">
      <c r="A7" s="3"/>
      <c r="B7" s="3"/>
      <c r="C7" s="3"/>
      <c r="D7" s="3"/>
    </row>
    <row r="8" spans="1:4">
      <c r="A8" s="2" t="s">
        <v>41</v>
      </c>
      <c r="B8" s="2" t="s">
        <v>42</v>
      </c>
      <c r="C8" s="2"/>
      <c r="D8" s="2"/>
    </row>
  </sheetData>
  <autoFilter xmlns:etc="http://www.wps.cn/officeDocument/2017/etCustomData" ref="A1:D8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GiaoDich</vt:lpstr>
      <vt:lpstr>LamSach</vt:lpstr>
      <vt:lpstr>TongHopPhi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khuu</cp:lastModifiedBy>
  <dcterms:created xsi:type="dcterms:W3CDTF">2026-10-25T13:21:00Z</dcterms:created>
  <dcterms:modified xsi:type="dcterms:W3CDTF">2026-10-25T13:26:26Z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0904CFAF489E45F1B67D78D69C3B7614_12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